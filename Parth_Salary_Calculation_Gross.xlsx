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/>
  <mc:AlternateContent xmlns:mc="http://schemas.openxmlformats.org/markup-compatibility/2006">
    <mc:Choice Requires="x15">
      <x15ac:absPath xmlns:x15ac="http://schemas.microsoft.com/office/spreadsheetml/2010/11/ac" url="D:\Antigravity\Wilmer House\"/>
    </mc:Choice>
  </mc:AlternateContent>
  <xr:revisionPtr revIDLastSave="0" documentId="13_ncr:1_{E9BB6889-7719-4600-BE4E-9F9E523F4D23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Gross Salary Calculat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1" i="1" l="1"/>
  <c r="E13" i="1" s="1"/>
  <c r="E17" i="1" s="1"/>
  <c r="E18" i="1" s="1"/>
  <c r="H6" i="1"/>
  <c r="H5" i="1"/>
  <c r="H4" i="1"/>
</calcChain>
</file>

<file path=xl/sharedStrings.xml><?xml version="1.0" encoding="utf-8"?>
<sst xmlns="http://schemas.openxmlformats.org/spreadsheetml/2006/main" count="28" uniqueCount="24">
  <si>
    <t>Month</t>
  </si>
  <si>
    <t>Gross Salary</t>
  </si>
  <si>
    <t>PAYE Tax</t>
  </si>
  <si>
    <t>Employee NIC</t>
  </si>
  <si>
    <t>Net Salary Processed</t>
  </si>
  <si>
    <t>Payment Status</t>
  </si>
  <si>
    <t>Target GROSS Salary</t>
  </si>
  <si>
    <t>Excess GROSS Generated</t>
  </si>
  <si>
    <t>Mar-26</t>
  </si>
  <si>
    <t>Paid</t>
  </si>
  <si>
    <t>-</t>
  </si>
  <si>
    <t>Apr-26</t>
  </si>
  <si>
    <t>May-26</t>
  </si>
  <si>
    <t>Jun-26</t>
  </si>
  <si>
    <t>Jul-26</t>
  </si>
  <si>
    <t>Pending</t>
  </si>
  <si>
    <t>--- OVERPAYMENT CALCULATIONS (ON GROSS SALARY) ---</t>
  </si>
  <si>
    <t>1. Excess GROSS Processed (May &amp; June)</t>
  </si>
  <si>
    <t>2. Less: Amount Already Recovered from him</t>
  </si>
  <si>
    <t>3. Remaining GROSS Excess (To be adjusted)</t>
  </si>
  <si>
    <t>--- JULY SETTLEMENT ---</t>
  </si>
  <si>
    <t>4. July Target GROSS Salary</t>
  </si>
  <si>
    <t>5. Less: Remaining GROSS Excess (From point 3)</t>
  </si>
  <si>
    <t>6. FINAL ADJUSTED GROSS (Negative = Still owes)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</si>
</sst>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£#,##0.00"/>
  </numFmts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i/>
      <sz val="11"/>
      <name val="Calibri"/>
    </font>
    <font>
      <b/>
      <sz val="11"/>
      <name val="Calibri"/>
    </font>
    <font>
      <b/>
      <sz val="11"/>
      <color rgb="FF00B050"/>
      <name val="Calibri"/>
    </font>
    <font>
      <b/>
      <sz val="11"/>
      <color rgb="FFFF0000"/>
      <name val="Calibri"/>
    </font>
    <font>
      <b/>
      <sz val="12"/>
      <name val="Calibri"/>
    </font>
    <font>
      <b/>
      <sz val="12"/>
      <color rgb="FFFF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2" fillId="0" borderId="0" xfId="0" applyFont="1"/>
    <xf numFmtId="0" fontId="3" fillId="0" borderId="0" xfId="0" applyFont="1"/>
    <xf numFmtId="164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  <xf numFmtId="164" fontId="7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tabSelected="1" workbookViewId="0">
      <selection activeCell="G4" sqref="G4"/>
    </sheetView>
  </sheetViews>
  <sheetFormatPr defaultRowHeight="14.5" x14ac:dyDescent="0.35"/>
  <cols>
    <col min="1" max="1" width="15" customWidth="1"/>
    <col min="2" max="2" width="20" customWidth="1"/>
    <col min="3" max="4" width="15" customWidth="1"/>
    <col min="5" max="5" width="25" customWidth="1"/>
    <col min="6" max="6" width="18" customWidth="1"/>
    <col min="7" max="7" width="22" customWidth="1"/>
    <col min="8" max="8" width="25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8</v>
      </c>
      <c r="B2" s="3">
        <v>1196.58</v>
      </c>
      <c r="C2" s="3">
        <v>29.6</v>
      </c>
      <c r="D2" s="3">
        <v>11.89</v>
      </c>
      <c r="E2" s="3">
        <v>1155.0899999999999</v>
      </c>
      <c r="F2" s="4" t="s">
        <v>9</v>
      </c>
      <c r="G2" s="4"/>
      <c r="H2" s="4" t="s">
        <v>10</v>
      </c>
    </row>
    <row r="3" spans="1:8" x14ac:dyDescent="0.35">
      <c r="A3" s="2" t="s">
        <v>11</v>
      </c>
      <c r="B3" s="3">
        <v>1118.48</v>
      </c>
      <c r="C3" s="3">
        <v>14</v>
      </c>
      <c r="D3" s="3">
        <v>5.64</v>
      </c>
      <c r="E3" s="3">
        <v>1098.8399999999999</v>
      </c>
      <c r="F3" s="4" t="s">
        <v>9</v>
      </c>
      <c r="G3" s="4"/>
      <c r="H3" s="4" t="s">
        <v>10</v>
      </c>
    </row>
    <row r="4" spans="1:8" x14ac:dyDescent="0.35">
      <c r="A4" s="2" t="s">
        <v>12</v>
      </c>
      <c r="B4" s="3">
        <v>2918.1</v>
      </c>
      <c r="C4" s="3">
        <v>374</v>
      </c>
      <c r="D4" s="3">
        <v>149.61000000000001</v>
      </c>
      <c r="E4" s="3">
        <v>2394.4899999999998</v>
      </c>
      <c r="F4" s="4" t="s">
        <v>9</v>
      </c>
      <c r="G4" s="3">
        <v>1300</v>
      </c>
      <c r="H4" s="3">
        <f>B4-G4</f>
        <v>1618.1</v>
      </c>
    </row>
    <row r="5" spans="1:8" x14ac:dyDescent="0.35">
      <c r="A5" s="2" t="s">
        <v>13</v>
      </c>
      <c r="B5" s="3">
        <v>4666.67</v>
      </c>
      <c r="C5" s="3">
        <v>723.6</v>
      </c>
      <c r="D5" s="3">
        <v>260.83</v>
      </c>
      <c r="E5" s="3">
        <v>3682.24</v>
      </c>
      <c r="F5" s="4" t="s">
        <v>9</v>
      </c>
      <c r="G5" s="3">
        <v>1300</v>
      </c>
      <c r="H5" s="3">
        <f>B5-G5</f>
        <v>3366.67</v>
      </c>
    </row>
    <row r="6" spans="1:8" x14ac:dyDescent="0.35">
      <c r="A6" s="2" t="s">
        <v>14</v>
      </c>
      <c r="B6" s="3">
        <v>4666.67</v>
      </c>
      <c r="C6" s="3">
        <v>723.6</v>
      </c>
      <c r="D6" s="3">
        <v>260.83</v>
      </c>
      <c r="E6" s="3">
        <v>3682.24</v>
      </c>
      <c r="F6" s="4" t="s">
        <v>15</v>
      </c>
      <c r="G6" s="3">
        <v>1300</v>
      </c>
      <c r="H6" s="3">
        <f>B6-G6</f>
        <v>3366.67</v>
      </c>
    </row>
    <row r="9" spans="1:8" x14ac:dyDescent="0.35">
      <c r="A9" s="5" t="s">
        <v>16</v>
      </c>
    </row>
    <row r="11" spans="1:8" x14ac:dyDescent="0.35">
      <c r="A11" s="6" t="s">
        <v>17</v>
      </c>
      <c r="E11" s="7">
        <f>H4+H5</f>
        <v>4984.7700000000004</v>
      </c>
    </row>
    <row r="12" spans="1:8" x14ac:dyDescent="0.35">
      <c r="A12" s="8" t="s">
        <v>18</v>
      </c>
      <c r="E12" s="7">
        <v>1500</v>
      </c>
    </row>
    <row r="13" spans="1:8" x14ac:dyDescent="0.35">
      <c r="A13" s="9" t="s">
        <v>19</v>
      </c>
      <c r="E13" s="7">
        <f>E11-E12</f>
        <v>3484.7700000000004</v>
      </c>
    </row>
    <row r="15" spans="1:8" x14ac:dyDescent="0.35">
      <c r="A15" s="5" t="s">
        <v>20</v>
      </c>
    </row>
    <row r="16" spans="1:8" x14ac:dyDescent="0.35">
      <c r="A16" s="6" t="s">
        <v>21</v>
      </c>
      <c r="E16" s="7">
        <v>1300</v>
      </c>
    </row>
    <row r="17" spans="1:5" x14ac:dyDescent="0.35">
      <c r="A17" s="6" t="s">
        <v>22</v>
      </c>
      <c r="E17" s="7">
        <f>E13</f>
        <v>3484.7700000000004</v>
      </c>
    </row>
    <row r="18" spans="1:5" ht="15.5" x14ac:dyDescent="0.35">
      <c r="A18" s="10" t="s">
        <v>23</v>
      </c>
      <c r="E18" s="11">
        <f>E16-E17</f>
        <v>-2184.7700000000004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Gross Salary Calculation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Administrator</cp:lastModifiedBy>
  <dcterms:created xsi:type="dcterms:W3CDTF">2026-08-01T03:58:46Z</dcterms:created>
  <dcterms:modified xsi:type="dcterms:W3CDTF">2026-08-01T04:01:30Z</dcterms:modified>
</cp:coreProperties>
</file>