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  <font>
      <b val="1"/>
      <color rgb="0000B050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1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Month</t>
        </is>
      </c>
      <c r="B1" s="1" t="inlineStr">
        <is>
          <t>Gross Salary Processed</t>
        </is>
      </c>
      <c r="C1" s="1" t="inlineStr">
        <is>
          <t>PAYE Tax</t>
        </is>
      </c>
      <c r="D1" s="1" t="inlineStr">
        <is>
          <t>Employee NIC</t>
        </is>
      </c>
      <c r="E1" s="1" t="inlineStr">
        <is>
          <t>Net Salary Processed (Paid)</t>
        </is>
      </c>
    </row>
    <row r="2">
      <c r="A2" s="2" t="inlineStr">
        <is>
          <t>Mar-26</t>
        </is>
      </c>
      <c r="B2" s="3" t="n">
        <v>1196.58</v>
      </c>
      <c r="C2" s="3" t="n">
        <v>29.6</v>
      </c>
      <c r="D2" s="3" t="n">
        <v>11.89</v>
      </c>
      <c r="E2" s="3" t="n">
        <v>1155.09</v>
      </c>
    </row>
    <row r="3">
      <c r="A3" s="2" t="inlineStr">
        <is>
          <t>Apr-26</t>
        </is>
      </c>
      <c r="B3" s="3" t="n">
        <v>1118.48</v>
      </c>
      <c r="C3" s="3" t="n">
        <v>14</v>
      </c>
      <c r="D3" s="3" t="n">
        <v>5.64</v>
      </c>
      <c r="E3" s="3" t="n">
        <v>1098.84</v>
      </c>
    </row>
    <row r="4">
      <c r="A4" s="2" t="inlineStr">
        <is>
          <t>May-26</t>
        </is>
      </c>
      <c r="B4" s="3" t="n">
        <v>2918.1</v>
      </c>
      <c r="C4" s="3" t="n">
        <v>374</v>
      </c>
      <c r="D4" s="3" t="n">
        <v>149.61</v>
      </c>
      <c r="E4" s="3" t="n">
        <v>2394.49</v>
      </c>
    </row>
    <row r="5">
      <c r="A5" s="2" t="inlineStr">
        <is>
          <t>Jun-26</t>
        </is>
      </c>
      <c r="B5" s="3" t="n">
        <v>4666.67</v>
      </c>
      <c r="C5" s="3" t="n">
        <v>723.6</v>
      </c>
      <c r="D5" s="3" t="n">
        <v>260.83</v>
      </c>
      <c r="E5" s="3" t="n">
        <v>3682.24</v>
      </c>
    </row>
    <row r="6">
      <c r="A6" s="2" t="inlineStr">
        <is>
          <t>Jul-26</t>
        </is>
      </c>
      <c r="B6" s="3" t="n">
        <v>4666.67</v>
      </c>
      <c r="C6" s="3" t="n">
        <v>723.6</v>
      </c>
      <c r="D6" s="3" t="n">
        <v>260.83</v>
      </c>
      <c r="E6" s="3" t="n">
        <v>3682.24</v>
      </c>
    </row>
    <row r="7">
      <c r="A7" s="4" t="inlineStr">
        <is>
          <t>TOTAL</t>
        </is>
      </c>
      <c r="B7" s="5">
        <f>SUM(B2:B6)</f>
        <v/>
      </c>
      <c r="C7" s="5">
        <f>SUM(C2:C6)</f>
        <v/>
      </c>
      <c r="D7" s="5">
        <f>SUM(D2:D6)</f>
        <v/>
      </c>
      <c r="E7" s="5">
        <f>SUM(E2:E6)</f>
        <v/>
      </c>
    </row>
    <row r="10">
      <c r="A10" s="4" t="inlineStr">
        <is>
          <t>Expected Average Net Salary per month</t>
        </is>
      </c>
      <c r="B10" s="6" t="n">
        <v>1300</v>
      </c>
    </row>
    <row r="11">
      <c r="A11" s="4" t="inlineStr">
        <is>
          <t>Total Expected Net Salary (5 months)</t>
        </is>
      </c>
      <c r="B11" s="6">
        <f>B10*5</f>
        <v/>
      </c>
    </row>
    <row r="12">
      <c r="A12" s="4" t="inlineStr">
        <is>
          <t>Total Net Salary Actually Paid</t>
        </is>
      </c>
      <c r="B12" s="6">
        <f>E7</f>
        <v/>
      </c>
    </row>
    <row r="13">
      <c r="A13" s="7" t="inlineStr">
        <is>
          <t>Total Overpayment</t>
        </is>
      </c>
      <c r="B13" s="8">
        <f>B12-B11</f>
        <v/>
      </c>
    </row>
    <row r="14">
      <c r="A14" s="9" t="inlineStr">
        <is>
          <t>Less: Amount Already Recovered</t>
        </is>
      </c>
      <c r="B14" s="10" t="n">
        <v>1500</v>
      </c>
    </row>
    <row r="15">
      <c r="A15" s="11" t="inlineStr">
        <is>
          <t>BALANCE AMOUNT TO RECOVER NOW</t>
        </is>
      </c>
      <c r="B15" s="12">
        <f>B13-B14</f>
        <v/>
      </c>
    </row>
    <row r="17">
      <c r="A17" t="inlineStr">
        <is>
          <t>*Note: The recovery is calculated based on NET salary (jo in hand milti hai). Agar 1300 Gross thi toh formula change kar lenge.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2026-08-01T03:45:38Z</dcterms:created>
  <dcterms:modified xsi:type="dcterms:W3CDTF">2026-08-01T03:45:39Z</dcterms:modified>
</cp:coreProperties>
</file>