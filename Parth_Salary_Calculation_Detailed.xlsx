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Salary Calc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i val="1"/>
    </font>
    <font>
      <b val="1"/>
    </font>
    <font>
      <b val="1"/>
      <color rgb="0000B050"/>
    </font>
    <font>
      <b val="1"/>
      <color rgb="00FF0000"/>
    </font>
    <font>
      <b val="1"/>
      <sz val="12"/>
    </font>
    <font>
      <b val="1"/>
      <color rgb="00FF0000"/>
      <sz val="12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8" customWidth="1" min="7" max="7"/>
    <col width="22" customWidth="1" min="8" max="8"/>
  </cols>
  <sheetData>
    <row r="1">
      <c r="A1" s="1" t="inlineStr">
        <is>
          <t>Month</t>
        </is>
      </c>
      <c r="B1" s="1" t="inlineStr">
        <is>
          <t>Gross Salary</t>
        </is>
      </c>
      <c r="C1" s="1" t="inlineStr">
        <is>
          <t>PAYE Tax</t>
        </is>
      </c>
      <c r="D1" s="1" t="inlineStr">
        <is>
          <t>Employee NIC</t>
        </is>
      </c>
      <c r="E1" s="1" t="inlineStr">
        <is>
          <t>Net Salary Processed</t>
        </is>
      </c>
      <c r="F1" s="1" t="inlineStr">
        <is>
          <t>Payment Status</t>
        </is>
      </c>
      <c r="G1" s="1" t="inlineStr">
        <is>
          <t>Target Salary</t>
        </is>
      </c>
      <c r="H1" s="1" t="inlineStr">
        <is>
          <t>Excess Generated</t>
        </is>
      </c>
    </row>
    <row r="2">
      <c r="A2" s="2" t="inlineStr">
        <is>
          <t>Mar-26</t>
        </is>
      </c>
      <c r="B2" s="3" t="n">
        <v>1196.58</v>
      </c>
      <c r="C2" s="3" t="n">
        <v>29.6</v>
      </c>
      <c r="D2" s="3" t="n">
        <v>11.89</v>
      </c>
      <c r="E2" s="3" t="n">
        <v>1155.09</v>
      </c>
      <c r="F2" s="4" t="inlineStr">
        <is>
          <t>Paid</t>
        </is>
      </c>
      <c r="G2" s="4" t="inlineStr">
        <is>
          <t>Ignored</t>
        </is>
      </c>
      <c r="H2" s="4" t="inlineStr">
        <is>
          <t>-</t>
        </is>
      </c>
    </row>
    <row r="3">
      <c r="A3" s="2" t="inlineStr">
        <is>
          <t>Apr-26</t>
        </is>
      </c>
      <c r="B3" s="3" t="n">
        <v>1118.48</v>
      </c>
      <c r="C3" s="3" t="n">
        <v>14</v>
      </c>
      <c r="D3" s="3" t="n">
        <v>5.64</v>
      </c>
      <c r="E3" s="3" t="n">
        <v>1098.84</v>
      </c>
      <c r="F3" s="4" t="inlineStr">
        <is>
          <t>Paid</t>
        </is>
      </c>
      <c r="G3" s="4" t="inlineStr">
        <is>
          <t>Ignored</t>
        </is>
      </c>
      <c r="H3" s="4" t="inlineStr">
        <is>
          <t>-</t>
        </is>
      </c>
    </row>
    <row r="4">
      <c r="A4" s="2" t="inlineStr">
        <is>
          <t>May-26</t>
        </is>
      </c>
      <c r="B4" s="3" t="n">
        <v>2918.1</v>
      </c>
      <c r="C4" s="3" t="n">
        <v>374</v>
      </c>
      <c r="D4" s="3" t="n">
        <v>149.61</v>
      </c>
      <c r="E4" s="3" t="n">
        <v>2394.49</v>
      </c>
      <c r="F4" s="4" t="inlineStr">
        <is>
          <t>Paid</t>
        </is>
      </c>
      <c r="G4" s="3" t="n">
        <v>1300</v>
      </c>
      <c r="H4" s="3">
        <f>E4-G4</f>
        <v/>
      </c>
    </row>
    <row r="5">
      <c r="A5" s="2" t="inlineStr">
        <is>
          <t>Jun-26</t>
        </is>
      </c>
      <c r="B5" s="3" t="n">
        <v>4666.67</v>
      </c>
      <c r="C5" s="3" t="n">
        <v>723.6</v>
      </c>
      <c r="D5" s="3" t="n">
        <v>260.83</v>
      </c>
      <c r="E5" s="3" t="n">
        <v>3682.24</v>
      </c>
      <c r="F5" s="4" t="inlineStr">
        <is>
          <t>Paid</t>
        </is>
      </c>
      <c r="G5" s="3" t="n">
        <v>1300</v>
      </c>
      <c r="H5" s="3">
        <f>E5-G5</f>
        <v/>
      </c>
    </row>
    <row r="6">
      <c r="A6" s="2" t="inlineStr">
        <is>
          <t>Jul-26</t>
        </is>
      </c>
      <c r="B6" s="3" t="n">
        <v>4666.67</v>
      </c>
      <c r="C6" s="3" t="n">
        <v>723.6</v>
      </c>
      <c r="D6" s="3" t="n">
        <v>260.83</v>
      </c>
      <c r="E6" s="3" t="n">
        <v>3682.24</v>
      </c>
      <c r="F6" s="4" t="inlineStr">
        <is>
          <t>Pending</t>
        </is>
      </c>
      <c r="G6" s="3" t="n">
        <v>1300</v>
      </c>
      <c r="H6" s="3">
        <f>E6-G6</f>
        <v/>
      </c>
    </row>
    <row r="9">
      <c r="A9" s="5" t="inlineStr">
        <is>
          <t>--- OVERPAYMENT CALCULATIONS ---</t>
        </is>
      </c>
    </row>
    <row r="11">
      <c r="A11" s="6" t="inlineStr">
        <is>
          <t>1. Excess Paid to Bank (May &amp; June)</t>
        </is>
      </c>
      <c r="E11" s="7">
        <f>H4+H5</f>
        <v/>
      </c>
    </row>
    <row r="12">
      <c r="A12" s="8" t="inlineStr">
        <is>
          <t>2. Less: Amount Already Recovered</t>
        </is>
      </c>
      <c r="E12" s="7" t="n">
        <v>1300</v>
      </c>
    </row>
    <row r="13">
      <c r="A13" s="9" t="inlineStr">
        <is>
          <t>3. Remaining Excess with Employee</t>
        </is>
      </c>
      <c r="E13" s="7">
        <f>E11-E12</f>
        <v/>
      </c>
    </row>
    <row r="15">
      <c r="A15" s="5" t="inlineStr">
        <is>
          <t>--- JULY SETTLEMENT ---</t>
        </is>
      </c>
    </row>
    <row r="16">
      <c r="A16" s="6" t="inlineStr">
        <is>
          <t>4. July Target Salary (What he should get for July)</t>
        </is>
      </c>
      <c r="E16" s="7" t="n">
        <v>1300</v>
      </c>
    </row>
    <row r="17">
      <c r="A17" s="6" t="inlineStr">
        <is>
          <t>5. Less: Remaining Excess (From point 3)</t>
        </is>
      </c>
      <c r="E17" s="7">
        <f>E13</f>
        <v/>
      </c>
    </row>
    <row r="18">
      <c r="A18" s="10" t="inlineStr">
        <is>
          <t>6. FINAL AMOUNT (Negative means he still owes company)</t>
        </is>
      </c>
      <c r="E18" s="11">
        <f>E16-E17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2026-08-01T03:51:42Z</dcterms:created>
  <dcterms:modified xsi:type="dcterms:W3CDTF">2026-08-01T03:51:42Z</dcterms:modified>
</cp:coreProperties>
</file>